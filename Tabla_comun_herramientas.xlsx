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Herramientas" sheetId="1" state="visible" r:id="rId3"/>
    <sheet name="Pruebas de mutacion" sheetId="2" state="visible" r:id="rId4"/>
    <sheet name="Mediciones LLM" sheetId="3" state="visible" r:id="rId5"/>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<sst xmlns="http://schemas.openxmlformats.org/spreadsheetml/2006/main" count="121" uniqueCount="102">
  <si>
    <t xml:space="preserve">Tabla común de herramientas del arnés - semana del 5 al 9 de octubre de 2026</t>
  </si>
  <si>
    <t xml:space="preserve">Leyenda: las filas de TFG1 están completas y sirven de ejemplo del nivel de detalle esperado. Las filas grises (TFG2 y TFG3) están pendientes: rellenar las columnas C a G de cada una. Entorno de prueba de TFG1: Windows, Python 3.11.9, entorno virtual (.venv).</t>
  </si>
  <si>
    <t xml:space="preserve">TFG</t>
  </si>
  <si>
    <t xml:space="preserve">Herramienta</t>
  </si>
  <si>
    <t xml:space="preserve">Versión probada</t>
  </si>
  <si>
    <t xml:space="preserve">Qué permite medir</t>
  </si>
  <si>
    <t xml:space="preserve">Formato de salida</t>
  </si>
  <si>
    <t xml:space="preserve">Limitaciones observadas</t>
  </si>
  <si>
    <t xml:space="preserve">Scripts</t>
  </si>
  <si>
    <t xml:space="preserve">TFG1</t>
  </si>
  <si>
    <t xml:space="preserve">Hypothesis</t>
  </si>
  <si>
    <t xml:space="preserve">6.112.1</t>
  </si>
  <si>
    <t xml:space="preserve">Propiedades sobre un espacio de casos generado automáticamente: conmutatividad, asociatividad, idempotencia y monotonicidad del merge en PN-Counter y LWW-Element-Set. Con 200 ejemplos por propiedad. Reduce los contraejemplos al caso mínimo (shrinking).</t>
  </si>
  <si>
    <t xml:space="preserve">Sin salida estructurada propia: se integra en pytest. Ante un fallo imprime el 'Falsifying example' y un identificador @reproduce_failure para reproducirlo.</t>
  </si>
  <si>
    <t xml:space="preserve">200 ejemplos son una muestra, no una demostración. Con derandomize=True y database=None se reproduce siempre lo mismo, pero se pierde la memoria de fallos anteriores. Hay que diseñar bien las estrategias (en el PN-Counter fue necesario assume(r1 != r2)). Las propiedades algebraicas no ven errores de significado: en las pruebas de mutación solo un test semántico detectó los mutantes 3 y 4, y el mutante 5 sobrevive.</t>
  </si>
  <si>
    <t xml:space="preserve">conftest.py, test_pn_counter.py, test_lww_element_set.py</t>
  </si>
  <si>
    <t xml:space="preserve">pytest</t>
  </si>
  <si>
    <t xml:space="preserve">8.3.3</t>
  </si>
  <si>
    <t xml:space="preserve">Ejecuta los tests y recoge, por test, el resultado (passed/failed) y la duración. 10 tests en total (5 por CRDT).</t>
  </si>
  <si>
    <t xml:space="preserve">Terminal (-v, --tb=short). Con el plugin pytest-json-report, JSON.</t>
  </si>
  <si>
    <t xml:space="preserve">Si conftest.py no está en la carpeta de los tests, el perfil de Hypothesis no se carga y se usa 'default' sin avisar. Cuando Hypothesis falla, la traza es muy larga (ExceptionGroup): conviene --tb=short.</t>
  </si>
  <si>
    <t xml:space="preserve">pn_counter.py, lww_element_set.py (código bajo prueba)</t>
  </si>
  <si>
    <t xml:space="preserve">pytest-json-report</t>
  </si>
  <si>
    <t xml:space="preserve">1.5.0</t>
  </si>
  <si>
    <t xml:space="preserve">Vuelca la sesión completa a JSON: resumen, cada test con su resultado y la duración de setup, call y teardown.</t>
  </si>
  <si>
    <t xml:space="preserve">JSON (results.json).</t>
  </si>
  <si>
    <t xml:space="preserve">Muy verboso: duplica setup/call/teardown e incluye keywords internas de Hypothesis. No incluye la configuración de Hypothesis, así que extract_summary.py la fija a mano. El campo 'environment' sale vacío.</t>
  </si>
  <si>
    <t xml:space="preserve">extract_summary.py (genera summary.json)</t>
  </si>
  <si>
    <t xml:space="preserve">PostgreSQL con Docker Compose (extra opcional)</t>
  </si>
  <si>
    <t xml:space="preserve">PostgreSQL 16.4; Docker 29.8.2; Compose v5.5.1; psycopg2-binary 2.9.9</t>
  </si>
  <si>
    <t xml:space="preserve">Persistir los resultados de cada ejecución en la tabla test_runs (una fila por test), para comparar ejecuciones a lo largo del tiempo.</t>
  </si>
  <si>
    <t xml:space="preserve">Tabla SQL consultable con psql.</t>
  </si>
  <si>
    <t xml:space="preserve">Credenciales de desarrollo en claro en docker-compose.yml. init.sql solo se ejecuta la primera vez que se crea el volumen. El esquema de la tabla es una propuesta propia, pendiente de confirmar con Alejandro. Requiere Docker Desktop; en Windows hubo que ajustar el PATH y reiniciar.</t>
  </si>
  <si>
    <t xml:space="preserve">docker-compose.yml, init.sql, load_results_to_postgres.py</t>
  </si>
  <si>
    <t xml:space="preserve">TFG2</t>
  </si>
  <si>
    <t xml:space="preserve">radon</t>
  </si>
  <si>
    <t xml:space="preserve">6.0.1</t>
  </si>
  <si>
    <t xml:space="preserve">Complejidad ciclomática por función, método y clase (rangos A a F) e índice de mantenibilidad por fichero (0 a 100). Sobre pn_counter.py y lww_element_set.py: 18 bloques, media 2,83 (A); índice 69,96 y 49,75 (ambos A). Los métodos más complejos son lookup (7) y __post_init__ (6), ambos B.</t>
  </si>
  <si>
    <t xml:space="preserve">Texto en terminal. JSON con -j, pero 'radon cc' y 'radon mi' generan cada uno el suyo.</t>
  </si>
  <si>
    <t xml:space="preserve">El JSON de cc anida los métodos dentro de su clase, así que hay que deduplicar para contar bloques. La complejidad de una clase no es la suma de sus métodos. La letra del índice de mantenibilidad es muy gruesa: 69,96 y 49,75 dan ambas A. Mide estructura, no si el código es correcto, y no detecta code smells.</t>
  </si>
  <si>
    <t xml:space="preserve">collect_static_metrics.py</t>
  </si>
  <si>
    <t xml:space="preserve">ruff</t>
  </si>
  <si>
    <t xml:space="preserve">0.16.10</t>
  </si>
  <si>
    <t xml:space="preserve">Avisos de estilo y de posibles errores según las reglas activadas (--select E,F,W,B,SIM,C90,PL). Sobre los dos ficheros: 12 avisos (4 W291, 2 E501, 4 B905, 2 PLW1641) y ninguno de SIM ni C90.</t>
  </si>
  <si>
    <t xml:space="preserve">Texto en terminal. JSON con --output-format json: lista de infracciones con code, name, message, location, fix y url.</t>
  </si>
  <si>
    <t xml:space="preserve">Por defecto aplica pocas reglas, hay que activar familias. No da índice de mantenibilidad ni métricas agregadas. Todas las infracciones salen con severity 'error', también las de estilo. El JSON trae rutas absolutas con el usuario del equipo. Seis de los doce avisos son estilo en un bloque de notas. PLW1641 (eq sin hash) no aplica a una dataclass mutable. El fix de B905 propone strict=False, que solo silencia el aviso sin comprobar nada. No tiene una categoría propia de code smells: lo más cercano son las familias B, SIM y PL; en este código solo saltaron B y PL.</t>
  </si>
  <si>
    <t xml:space="preserve">Pydantic (opcional)</t>
  </si>
  <si>
    <t xml:space="preserve">(pendiente)</t>
  </si>
  <si>
    <t xml:space="preserve">TFG3</t>
  </si>
  <si>
    <t xml:space="preserve">LiteLLM</t>
  </si>
  <si>
    <t xml:space="preserve">1.82.6 (entorno Python 3.14.3; dependencias registradas con pip freeze)</t>
  </si>
  <si>
    <t xml:space="preserve">Tokens de entrada, de salida y totales por llamada (campo usage) y el coste calculado (cost_usd). La latencia no la da LiteLLM: la mide el script con time.perf_counter. Con qwen2.5-coder:1.5b en local: 69 tokens de entrada y 212 de salida, latencia media de 21,8 s (rango de 20,0 a 23,6 s) en tres ejecuciones y unos 9,8 tokens/s.</t>
  </si>
  <si>
    <t xml:space="preserve">Objeto de respuesta en Python (usage, choices); el script lo vuelca a JSON (llm_call.json).</t>
  </si>
  <si>
    <t xml:space="preserve">Las versiones 1.82.7 y 1.82.8 estaban comprometidas: hay que fijar la versión y registrar las dependencias. Con un modelo local el coste sale 0.0, que no refleja el coste real de ejecutarlo. La velocidad calculada incluye el procesado del prompt, no es velocidad pura de generación. Sin streaming no se mide el tiempo hasta el primer token. temperature=0 no dio salidas idénticas (263 y 212 tokens). Según su documentación, intenta descargar la tabla de precios de internet; el script lo evita con LITELLM_LOCAL_MODEL_COST_MAP.</t>
  </si>
  <si>
    <t xml:space="preserve">call_local_llm.py</t>
  </si>
  <si>
    <t xml:space="preserve">Ollama (modelo pequeño local)</t>
  </si>
  <si>
    <t xml:space="preserve">Cliente 0.35.1; modelo qwen2.5-coder:1.5b</t>
  </si>
  <si>
    <t xml:space="preserve">Ejecutar un modelo pequeño en local y gratis, accesible por API en localhost:11434. En el equipo de prueba, unos 9,8 tokens/s. La calidad del modelo se evalúa aparte: el G-Counter que generó tenía errores (ver hoja Mediciones LLM).</t>
  </si>
  <si>
    <t xml:space="preserve">API HTTP, que consume LiteLLM; línea de comandos (ollama list, pull, run).</t>
  </si>
  <si>
    <t xml:space="preserve">El servidor arranca con la aplicación: si no, la CLI avisa de que no puede conectar. Si el puerto 11434 ya está en uso, ollama serve da error aunque todo esté bien. El rendimiento depende del hardware y varía entre ejecuciones: la latencia subió de 20,0 a 23,6 s con la misma petición. Tras instalarlo hubo que abrir una terminal nueva para que reconociera el comando.</t>
  </si>
  <si>
    <t xml:space="preserve">Evidencia de que los tests detectan bugs: pruebas de mutación manuales</t>
  </si>
  <si>
    <t xml:space="preserve">#</t>
  </si>
  <si>
    <t xml:space="preserve">CRDT</t>
  </si>
  <si>
    <t xml:space="preserve">Mutación introducida</t>
  </si>
  <si>
    <t xml:space="preserve">Qué simula</t>
  </si>
  <si>
    <t xml:space="preserve">Tests que fallan</t>
  </si>
  <si>
    <t xml:space="preserve">Resultado</t>
  </si>
  <si>
    <t xml:space="preserve">PN-Counter</t>
  </si>
  <si>
    <t xml:space="preserve">max -&gt; min en el vector P del merge</t>
  </si>
  <si>
    <t xml:space="preserve">El merge pierde incrementos</t>
  </si>
  <si>
    <t xml:space="preserve">test_merge_is_monotonic y test_value_after_merge_matches_independent_updates</t>
  </si>
  <si>
    <t xml:space="preserve">Detectado</t>
  </si>
  <si>
    <t xml:space="preserve">max -&gt; min en el vector N del merge</t>
  </si>
  <si>
    <t xml:space="preserve">El merge pierde decrementos</t>
  </si>
  <si>
    <t xml:space="preserve">increment() suma 2 en vez de 1</t>
  </si>
  <si>
    <t xml:space="preserve">Error de significado con el merge intacto</t>
  </si>
  <si>
    <t xml:space="preserve">test_value_after_merge_matches_independent_updates (assert 2 == 1)</t>
  </si>
  <si>
    <t xml:space="preserve">LWW-Element-Set</t>
  </si>
  <si>
    <t xml:space="preserve">lookup: &gt; cambiado por &lt;</t>
  </si>
  <si>
    <t xml:space="preserve">Gana el remove en vez del add más reciente</t>
  </si>
  <si>
    <t xml:space="preserve">test_concurrent_add_and_remove_same_element_add_wins_on_strict_later_timestamp</t>
  </si>
  <si>
    <t xml:space="preserve">lookup: &gt; cambiado por &gt;=</t>
  </si>
  <si>
    <t xml:space="preserve">Desempate con timestamps iguales</t>
  </si>
  <si>
    <t xml:space="preserve">Ninguno (pasan los 5)</t>
  </si>
  <si>
    <t xml:space="preserve">Sobrevive</t>
  </si>
  <si>
    <t xml:space="preserve">Cada mutante se probó por separado y se revirtió antes del siguiente. El mutante 5 sobrevive porque el reloj lógico (_Clock) es global y da timestamps únicos, de modo que un add y un remove nunca empatan. Mutantes 1 y 2: la salida real de pytest mostró 2 failed y 3 passed. Contraejemplo mínimo del 1: una réplica con un inc y otra sin operaciones.</t>
  </si>
  <si>
    <t xml:space="preserve">TFG3: llamada a qwen2.5-coder:1.5b con LiteLLM 1.82.6 y Ollama</t>
  </si>
  <si>
    <t xml:space="preserve">Petición: implementar un G-Counter en Python (69 tokens de entrada). temperature=0. Valores azules: datos medidos; el resto son fórmulas.</t>
  </si>
  <si>
    <t xml:space="preserve">Ejecución</t>
  </si>
  <si>
    <t xml:space="preserve">Latencia (s)</t>
  </si>
  <si>
    <t xml:space="preserve">Tokens de entrada</t>
  </si>
  <si>
    <t xml:space="preserve">Tokens de salida</t>
  </si>
  <si>
    <t xml:space="preserve">Tokens totales</t>
  </si>
  <si>
    <t xml:space="preserve">Tokens/s (salida / latencia)</t>
  </si>
  <si>
    <t xml:space="preserve">Primera llamada</t>
  </si>
  <si>
    <t xml:space="preserve">Repetición 1</t>
  </si>
  <si>
    <t xml:space="preserve">Repetición 2</t>
  </si>
  <si>
    <t xml:space="preserve">Repetición 3</t>
  </si>
  <si>
    <t xml:space="preserve">Media repeticiones 1 a 3 (misma salida)</t>
  </si>
  <si>
    <t xml:space="preserve">Mínimo repeticiones 1 a 3</t>
  </si>
  <si>
    <t xml:space="preserve">Máximo repeticiones 1 a 3</t>
  </si>
  <si>
    <t xml:space="preserve">Calidad de la respuesta (comprobada ejecutando el código generado): la clase usa 'value' como atributo y como método, así que value() lanza TypeError ('int' object is not callable). merge() suma en vez de combinar por réplica, de modo que no es idempotente: a.merge(a) con valor 1 da 2. Además ignoró la instrucción de responder solo con código y añadió una explicación.</t>
  </si>
</sst>
</file>

<file path=xl/styles.xml><?xml version="1.0" encoding="utf-8"?>
<styleSheet xmlns="http://schemas.openxmlformats.org/spreadsheetml/2006/main">
  <numFmts count="3">
    <numFmt numFmtId="164" formatCode="General"/>
    <numFmt numFmtId="165" formatCode="0.00"/>
    <numFmt numFmtId="166"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FFFFFF"/>
      <name val="Arial"/>
      <family val="0"/>
      <charset val="1"/>
    </font>
    <font>
      <i val="true"/>
      <sz val="10"/>
      <color rgb="FF5B6472"/>
      <name val="Arial"/>
      <family val="0"/>
      <charset val="1"/>
    </font>
    <font>
      <b val="true"/>
      <sz val="11"/>
      <color rgb="FFFFFFFF"/>
      <name val="Arial"/>
      <family val="0"/>
      <charset val="1"/>
    </font>
    <font>
      <b val="true"/>
      <sz val="10"/>
      <name val="Arial"/>
      <family val="0"/>
      <charset val="1"/>
    </font>
    <font>
      <sz val="10"/>
      <name val="Arial"/>
      <family val="0"/>
      <charset val="1"/>
    </font>
    <font>
      <b val="true"/>
      <sz val="10"/>
      <color rgb="FF000000"/>
      <name val="Arial"/>
      <family val="0"/>
      <charset val="1"/>
    </font>
    <font>
      <sz val="10"/>
      <color rgb="FF000000"/>
      <name val="Arial"/>
      <family val="0"/>
      <charset val="1"/>
    </font>
    <font>
      <sz val="10"/>
      <color rgb="FF808080"/>
      <name val="Arial"/>
      <family val="0"/>
      <charset val="1"/>
    </font>
    <font>
      <sz val="10"/>
      <color rgb="FF0000FF"/>
      <name val="Arial"/>
      <family val="0"/>
      <charset val="1"/>
    </font>
  </fonts>
  <fills count="6">
    <fill>
      <patternFill patternType="none"/>
    </fill>
    <fill>
      <patternFill patternType="gray125"/>
    </fill>
    <fill>
      <patternFill patternType="solid">
        <fgColor rgb="FF1B2430"/>
        <bgColor rgb="FF333300"/>
      </patternFill>
    </fill>
    <fill>
      <patternFill patternType="solid">
        <fgColor rgb="FFF2F2F2"/>
        <bgColor rgb="FFFCF0D4"/>
      </patternFill>
    </fill>
    <fill>
      <patternFill patternType="solid">
        <fgColor rgb="FFDDF3E8"/>
        <bgColor rgb="FFF2F2F2"/>
      </patternFill>
    </fill>
    <fill>
      <patternFill patternType="solid">
        <fgColor rgb="FFFCF0D4"/>
        <bgColor rgb="FFF2F2F2"/>
      </patternFill>
    </fill>
  </fills>
  <borders count="2">
    <border diagonalUp="false" diagonalDown="false">
      <left/>
      <right/>
      <top/>
      <bottom/>
      <diagonal/>
    </border>
    <border diagonalUp="false" diagonalDown="false">
      <left style="thin">
        <color rgb="FFD0D5DD"/>
      </left>
      <right style="thin">
        <color rgb="FFD0D5DD"/>
      </right>
      <top style="thin">
        <color rgb="FFD0D5DD"/>
      </top>
      <bottom style="thin">
        <color rgb="FFD0D5DD"/>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general" vertical="center" textRotation="0" wrapText="false" indent="1"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1" xfId="0" applyFont="true" applyBorder="true" applyAlignment="true" applyProtection="false">
      <alignment horizontal="center" vertical="center" textRotation="0" wrapText="true" indent="0" shrinkToFit="false"/>
      <protection locked="true" hidden="false"/>
    </xf>
    <xf numFmtId="164" fontId="7" fillId="0"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left" vertical="top" textRotation="0" wrapText="true" indent="0" shrinkToFit="false"/>
      <protection locked="true" hidden="false"/>
    </xf>
    <xf numFmtId="164" fontId="9" fillId="0" borderId="1" xfId="0" applyFont="true" applyBorder="true" applyAlignment="true" applyProtection="false">
      <alignment horizontal="left" vertical="top" textRotation="0" wrapText="true" indent="0" shrinkToFit="false"/>
      <protection locked="true" hidden="false"/>
    </xf>
    <xf numFmtId="164" fontId="10" fillId="0" borderId="1" xfId="0" applyFont="true" applyBorder="true" applyAlignment="true" applyProtection="false">
      <alignment horizontal="left" vertical="top" textRotation="0" wrapText="true" indent="0" shrinkToFit="false"/>
      <protection locked="true" hidden="false"/>
    </xf>
    <xf numFmtId="164" fontId="9" fillId="3" borderId="1" xfId="0" applyFont="true" applyBorder="true" applyAlignment="true" applyProtection="false">
      <alignment horizontal="left" vertical="top" textRotation="0" wrapText="true" indent="0" shrinkToFit="false"/>
      <protection locked="true" hidden="false"/>
    </xf>
    <xf numFmtId="164" fontId="11" fillId="3" borderId="1" xfId="0" applyFont="true" applyBorder="true" applyAlignment="true" applyProtection="false">
      <alignment horizontal="left" vertical="top" textRotation="0" wrapText="true" indent="0" shrinkToFit="false"/>
      <protection locked="true" hidden="false"/>
    </xf>
    <xf numFmtId="164" fontId="8" fillId="0"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10" fillId="0" borderId="1" xfId="0" applyFont="true" applyBorder="true" applyAlignment="true" applyProtection="false">
      <alignment horizontal="left" vertical="bottom" textRotation="0" wrapText="false" indent="0" shrinkToFit="false"/>
      <protection locked="true" hidden="false"/>
    </xf>
    <xf numFmtId="165" fontId="12" fillId="0" borderId="1" xfId="0" applyFont="true" applyBorder="true" applyAlignment="true" applyProtection="false">
      <alignment horizontal="center" vertical="bottom" textRotation="0" wrapText="false" indent="0" shrinkToFit="false"/>
      <protection locked="true" hidden="false"/>
    </xf>
    <xf numFmtId="164" fontId="12" fillId="0" borderId="1" xfId="0" applyFont="true" applyBorder="true" applyAlignment="true" applyProtection="false">
      <alignment horizontal="center" vertical="bottom" textRotation="0" wrapText="false" indent="0" shrinkToFit="false"/>
      <protection locked="true" hidden="false"/>
    </xf>
    <xf numFmtId="166" fontId="10" fillId="0" borderId="1" xfId="0" applyFont="true" applyBorder="true" applyAlignment="true" applyProtection="false">
      <alignment horizontal="center" vertical="bottom" textRotation="0" wrapText="false" indent="0" shrinkToFit="false"/>
      <protection locked="true" hidden="false"/>
    </xf>
    <xf numFmtId="165" fontId="10" fillId="0" borderId="1" xfId="0" applyFont="true" applyBorder="true" applyAlignment="true" applyProtection="false">
      <alignment horizontal="center"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CF0D4"/>
      <rgbColor rgb="FFDDF3E8"/>
      <rgbColor rgb="FF660066"/>
      <rgbColor rgb="FFFF8080"/>
      <rgbColor rgb="FF0066CC"/>
      <rgbColor rgb="FFD0D5DD"/>
      <rgbColor rgb="FF000080"/>
      <rgbColor rgb="FFFF00FF"/>
      <rgbColor rgb="FFFFFF00"/>
      <rgbColor rgb="FF00FFFF"/>
      <rgbColor rgb="FF800080"/>
      <rgbColor rgb="FF800000"/>
      <rgbColor rgb="FF008080"/>
      <rgbColor rgb="FF0000FF"/>
      <rgbColor rgb="FF00CCFF"/>
      <rgbColor rgb="FFF2F2F2"/>
      <rgbColor rgb="FFCCFFCC"/>
      <rgbColor rgb="FFFFFF99"/>
      <rgbColor rgb="FF99CCFF"/>
      <rgbColor rgb="FFFF99CC"/>
      <rgbColor rgb="FFCC99FF"/>
      <rgbColor rgb="FFFFCC99"/>
      <rgbColor rgb="FF3366FF"/>
      <rgbColor rgb="FF33CCCC"/>
      <rgbColor rgb="FF99CC00"/>
      <rgbColor rgb="FFFFCC00"/>
      <rgbColor rgb="FFFF9900"/>
      <rgbColor rgb="FFFF6600"/>
      <rgbColor rgb="FF5B6472"/>
      <rgbColor rgb="FF969696"/>
      <rgbColor rgb="FF003366"/>
      <rgbColor rgb="FF339966"/>
      <rgbColor rgb="FF003300"/>
      <rgbColor rgb="FF333300"/>
      <rgbColor rgb="FF993300"/>
      <rgbColor rgb="FF993366"/>
      <rgbColor rgb="FF333399"/>
      <rgbColor rgb="FF1B2430"/>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3" min="2" style="1" width="24"/>
    <col collapsed="false" customWidth="true" hidden="false" outlineLevel="0" max="4" min="4" style="1" width="46"/>
    <col collapsed="false" customWidth="true" hidden="false" outlineLevel="0" max="5" min="5" style="1" width="36"/>
    <col collapsed="false" customWidth="true" hidden="false" outlineLevel="0" max="6" min="6" style="1" width="62"/>
    <col collapsed="false" customWidth="true" hidden="false" outlineLevel="0" max="7" min="7" style="1" width="34"/>
  </cols>
  <sheetData>
    <row r="1" customFormat="false" ht="25.5" hidden="false" customHeight="true" outlineLevel="0" collapsed="false">
      <c r="A1" s="2" t="s">
        <v>0</v>
      </c>
      <c r="B1" s="2"/>
      <c r="C1" s="2"/>
      <c r="D1" s="2"/>
      <c r="E1" s="2"/>
      <c r="F1" s="2"/>
      <c r="G1" s="2"/>
    </row>
    <row r="2" customFormat="false" ht="31.5" hidden="false" customHeight="true" outlineLevel="0" collapsed="false">
      <c r="A2" s="3" t="s">
        <v>1</v>
      </c>
      <c r="B2" s="3"/>
      <c r="C2" s="3"/>
      <c r="D2" s="3"/>
      <c r="E2" s="3"/>
      <c r="F2" s="3"/>
      <c r="G2" s="3"/>
    </row>
    <row r="4" customFormat="false" ht="24" hidden="false" customHeight="true" outlineLevel="0" collapsed="false">
      <c r="A4" s="4" t="s">
        <v>2</v>
      </c>
      <c r="B4" s="4" t="s">
        <v>3</v>
      </c>
      <c r="C4" s="4" t="s">
        <v>4</v>
      </c>
      <c r="D4" s="4" t="s">
        <v>5</v>
      </c>
      <c r="E4" s="4" t="s">
        <v>6</v>
      </c>
      <c r="F4" s="4" t="s">
        <v>7</v>
      </c>
      <c r="G4" s="4" t="s">
        <v>8</v>
      </c>
    </row>
    <row r="5" customFormat="false" ht="132" hidden="false" customHeight="true" outlineLevel="0" collapsed="false">
      <c r="A5" s="5" t="s">
        <v>9</v>
      </c>
      <c r="B5" s="5" t="s">
        <v>10</v>
      </c>
      <c r="C5" s="6" t="s">
        <v>11</v>
      </c>
      <c r="D5" s="6" t="s">
        <v>12</v>
      </c>
      <c r="E5" s="6" t="s">
        <v>13</v>
      </c>
      <c r="F5" s="6" t="s">
        <v>14</v>
      </c>
      <c r="G5" s="6" t="s">
        <v>15</v>
      </c>
    </row>
    <row r="6" customFormat="false" ht="78" hidden="false" customHeight="true" outlineLevel="0" collapsed="false">
      <c r="A6" s="5" t="s">
        <v>9</v>
      </c>
      <c r="B6" s="5" t="s">
        <v>16</v>
      </c>
      <c r="C6" s="6" t="s">
        <v>17</v>
      </c>
      <c r="D6" s="6" t="s">
        <v>18</v>
      </c>
      <c r="E6" s="6" t="s">
        <v>19</v>
      </c>
      <c r="F6" s="6" t="s">
        <v>20</v>
      </c>
      <c r="G6" s="6" t="s">
        <v>21</v>
      </c>
    </row>
    <row r="7" customFormat="false" ht="78" hidden="false" customHeight="true" outlineLevel="0" collapsed="false">
      <c r="A7" s="5" t="s">
        <v>9</v>
      </c>
      <c r="B7" s="5" t="s">
        <v>22</v>
      </c>
      <c r="C7" s="6" t="s">
        <v>23</v>
      </c>
      <c r="D7" s="6" t="s">
        <v>24</v>
      </c>
      <c r="E7" s="6" t="s">
        <v>25</v>
      </c>
      <c r="F7" s="6" t="s">
        <v>26</v>
      </c>
      <c r="G7" s="6" t="s">
        <v>27</v>
      </c>
    </row>
    <row r="8" customFormat="false" ht="108" hidden="false" customHeight="true" outlineLevel="0" collapsed="false">
      <c r="A8" s="5" t="s">
        <v>9</v>
      </c>
      <c r="B8" s="5" t="s">
        <v>28</v>
      </c>
      <c r="C8" s="6" t="s">
        <v>29</v>
      </c>
      <c r="D8" s="6" t="s">
        <v>30</v>
      </c>
      <c r="E8" s="6" t="s">
        <v>31</v>
      </c>
      <c r="F8" s="6" t="s">
        <v>32</v>
      </c>
      <c r="G8" s="6" t="s">
        <v>33</v>
      </c>
    </row>
    <row r="9" customFormat="false" ht="135" hidden="false" customHeight="true" outlineLevel="0" collapsed="false">
      <c r="A9" s="7" t="s">
        <v>34</v>
      </c>
      <c r="B9" s="7" t="s">
        <v>35</v>
      </c>
      <c r="C9" s="8" t="s">
        <v>36</v>
      </c>
      <c r="D9" s="8" t="s">
        <v>37</v>
      </c>
      <c r="E9" s="8" t="s">
        <v>38</v>
      </c>
      <c r="F9" s="8" t="s">
        <v>39</v>
      </c>
      <c r="G9" s="8" t="s">
        <v>40</v>
      </c>
    </row>
    <row r="10" customFormat="false" ht="159.75" hidden="false" customHeight="true" outlineLevel="0" collapsed="false">
      <c r="A10" s="7" t="s">
        <v>34</v>
      </c>
      <c r="B10" s="7" t="s">
        <v>41</v>
      </c>
      <c r="C10" s="8" t="s">
        <v>42</v>
      </c>
      <c r="D10" s="8" t="s">
        <v>43</v>
      </c>
      <c r="E10" s="8" t="s">
        <v>44</v>
      </c>
      <c r="F10" s="8" t="s">
        <v>45</v>
      </c>
      <c r="G10" s="8" t="s">
        <v>40</v>
      </c>
    </row>
    <row r="11" customFormat="false" ht="39.75" hidden="false" customHeight="true" outlineLevel="0" collapsed="false">
      <c r="A11" s="9" t="s">
        <v>34</v>
      </c>
      <c r="B11" s="9" t="s">
        <v>46</v>
      </c>
      <c r="C11" s="10" t="s">
        <v>47</v>
      </c>
      <c r="D11" s="10" t="s">
        <v>47</v>
      </c>
      <c r="E11" s="10" t="s">
        <v>47</v>
      </c>
      <c r="F11" s="10" t="s">
        <v>47</v>
      </c>
      <c r="G11" s="10" t="s">
        <v>47</v>
      </c>
    </row>
    <row r="12" customFormat="false" ht="174.75" hidden="false" customHeight="true" outlineLevel="0" collapsed="false">
      <c r="A12" s="7" t="s">
        <v>48</v>
      </c>
      <c r="B12" s="7" t="s">
        <v>49</v>
      </c>
      <c r="C12" s="8" t="s">
        <v>50</v>
      </c>
      <c r="D12" s="8" t="s">
        <v>51</v>
      </c>
      <c r="E12" s="8" t="s">
        <v>52</v>
      </c>
      <c r="F12" s="8" t="s">
        <v>53</v>
      </c>
      <c r="G12" s="8" t="s">
        <v>54</v>
      </c>
    </row>
    <row r="13" customFormat="false" ht="174.75" hidden="false" customHeight="true" outlineLevel="0" collapsed="false">
      <c r="A13" s="7" t="s">
        <v>48</v>
      </c>
      <c r="B13" s="7" t="s">
        <v>55</v>
      </c>
      <c r="C13" s="8" t="s">
        <v>56</v>
      </c>
      <c r="D13" s="8" t="s">
        <v>57</v>
      </c>
      <c r="E13" s="8" t="s">
        <v>58</v>
      </c>
      <c r="F13" s="8" t="s">
        <v>59</v>
      </c>
      <c r="G13" s="8" t="s">
        <v>54</v>
      </c>
    </row>
  </sheetData>
  <mergeCells count="2">
    <mergeCell ref="A1:G1"/>
    <mergeCell ref="A2:G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0"/>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18"/>
    <col collapsed="false" customWidth="true" hidden="false" outlineLevel="0" max="3" min="3" style="1" width="38"/>
    <col collapsed="false" customWidth="true" hidden="false" outlineLevel="0" max="4" min="4" style="1" width="34"/>
    <col collapsed="false" customWidth="true" hidden="false" outlineLevel="0" max="5" min="5" style="1" width="52"/>
    <col collapsed="false" customWidth="true" hidden="false" outlineLevel="0" max="6" min="6" style="1" width="14"/>
  </cols>
  <sheetData>
    <row r="1" customFormat="false" ht="25.5" hidden="false" customHeight="true" outlineLevel="0" collapsed="false">
      <c r="A1" s="2" t="s">
        <v>60</v>
      </c>
      <c r="B1" s="2"/>
      <c r="C1" s="2"/>
      <c r="D1" s="2"/>
      <c r="E1" s="2"/>
      <c r="F1" s="2"/>
    </row>
    <row r="3" customFormat="false" ht="15" hidden="false" customHeight="true" outlineLevel="0" collapsed="false">
      <c r="A3" s="4" t="s">
        <v>61</v>
      </c>
      <c r="B3" s="4" t="s">
        <v>62</v>
      </c>
      <c r="C3" s="4" t="s">
        <v>63</v>
      </c>
      <c r="D3" s="4" t="s">
        <v>64</v>
      </c>
      <c r="E3" s="4" t="s">
        <v>65</v>
      </c>
      <c r="F3" s="4" t="s">
        <v>66</v>
      </c>
    </row>
    <row r="4" customFormat="false" ht="43.5" hidden="false" customHeight="true" outlineLevel="0" collapsed="false">
      <c r="A4" s="11" t="n">
        <v>1</v>
      </c>
      <c r="B4" s="6" t="s">
        <v>67</v>
      </c>
      <c r="C4" s="6" t="s">
        <v>68</v>
      </c>
      <c r="D4" s="6" t="s">
        <v>69</v>
      </c>
      <c r="E4" s="6" t="s">
        <v>70</v>
      </c>
      <c r="F4" s="12" t="s">
        <v>71</v>
      </c>
    </row>
    <row r="5" customFormat="false" ht="43.5" hidden="false" customHeight="true" outlineLevel="0" collapsed="false">
      <c r="A5" s="11" t="n">
        <v>2</v>
      </c>
      <c r="B5" s="6" t="s">
        <v>67</v>
      </c>
      <c r="C5" s="6" t="s">
        <v>72</v>
      </c>
      <c r="D5" s="6" t="s">
        <v>73</v>
      </c>
      <c r="E5" s="6" t="s">
        <v>70</v>
      </c>
      <c r="F5" s="12" t="s">
        <v>71</v>
      </c>
    </row>
    <row r="6" customFormat="false" ht="43.5" hidden="false" customHeight="true" outlineLevel="0" collapsed="false">
      <c r="A6" s="11" t="n">
        <v>3</v>
      </c>
      <c r="B6" s="6" t="s">
        <v>67</v>
      </c>
      <c r="C6" s="6" t="s">
        <v>74</v>
      </c>
      <c r="D6" s="6" t="s">
        <v>75</v>
      </c>
      <c r="E6" s="6" t="s">
        <v>76</v>
      </c>
      <c r="F6" s="12" t="s">
        <v>71</v>
      </c>
    </row>
    <row r="7" customFormat="false" ht="43.5" hidden="false" customHeight="true" outlineLevel="0" collapsed="false">
      <c r="A7" s="11" t="n">
        <v>4</v>
      </c>
      <c r="B7" s="6" t="s">
        <v>77</v>
      </c>
      <c r="C7" s="6" t="s">
        <v>78</v>
      </c>
      <c r="D7" s="6" t="s">
        <v>79</v>
      </c>
      <c r="E7" s="6" t="s">
        <v>80</v>
      </c>
      <c r="F7" s="12" t="s">
        <v>71</v>
      </c>
    </row>
    <row r="8" customFormat="false" ht="43.5" hidden="false" customHeight="true" outlineLevel="0" collapsed="false">
      <c r="A8" s="11" t="n">
        <v>5</v>
      </c>
      <c r="B8" s="6" t="s">
        <v>77</v>
      </c>
      <c r="C8" s="6" t="s">
        <v>81</v>
      </c>
      <c r="D8" s="6" t="s">
        <v>82</v>
      </c>
      <c r="E8" s="6" t="s">
        <v>83</v>
      </c>
      <c r="F8" s="13" t="s">
        <v>84</v>
      </c>
    </row>
    <row r="10" customFormat="false" ht="57.75" hidden="false" customHeight="true" outlineLevel="0" collapsed="false">
      <c r="A10" s="3" t="s">
        <v>85</v>
      </c>
      <c r="B10" s="3"/>
      <c r="C10" s="3"/>
      <c r="D10" s="3"/>
      <c r="E10" s="3"/>
      <c r="F10" s="3"/>
    </row>
  </sheetData>
  <mergeCells count="2">
    <mergeCell ref="A1:F1"/>
    <mergeCell ref="A10:F1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4"/>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14"/>
    <col collapsed="false" customWidth="true" hidden="false" outlineLevel="0" max="4" min="3" style="0" width="16"/>
    <col collapsed="false" customWidth="true" hidden="false" outlineLevel="0" max="5" min="5" style="0" width="14"/>
    <col collapsed="false" customWidth="true" hidden="false" outlineLevel="0" max="6" min="6" style="0" width="22"/>
  </cols>
  <sheetData>
    <row r="1" customFormat="false" ht="25.5" hidden="false" customHeight="true" outlineLevel="0" collapsed="false">
      <c r="A1" s="2" t="s">
        <v>86</v>
      </c>
      <c r="B1" s="2"/>
      <c r="C1" s="2"/>
      <c r="D1" s="2"/>
      <c r="E1" s="2"/>
      <c r="F1" s="2"/>
    </row>
    <row r="2" customFormat="false" ht="30" hidden="false" customHeight="true" outlineLevel="0" collapsed="false">
      <c r="A2" s="3" t="s">
        <v>87</v>
      </c>
      <c r="B2" s="3"/>
      <c r="C2" s="3"/>
      <c r="D2" s="3"/>
      <c r="E2" s="3"/>
      <c r="F2" s="3"/>
    </row>
    <row r="4" customFormat="false" ht="31.5" hidden="false" customHeight="true" outlineLevel="0" collapsed="false">
      <c r="A4" s="4" t="s">
        <v>88</v>
      </c>
      <c r="B4" s="4" t="s">
        <v>89</v>
      </c>
      <c r="C4" s="4" t="s">
        <v>90</v>
      </c>
      <c r="D4" s="4" t="s">
        <v>91</v>
      </c>
      <c r="E4" s="4" t="s">
        <v>92</v>
      </c>
      <c r="F4" s="4" t="s">
        <v>93</v>
      </c>
    </row>
    <row r="5" customFormat="false" ht="15" hidden="false" customHeight="false" outlineLevel="0" collapsed="false">
      <c r="A5" s="14" t="s">
        <v>94</v>
      </c>
      <c r="B5" s="15" t="n">
        <v>23.401</v>
      </c>
      <c r="C5" s="16" t="n">
        <v>69</v>
      </c>
      <c r="D5" s="16" t="n">
        <v>263</v>
      </c>
      <c r="E5" s="17" t="n">
        <f aca="false">C5+D5</f>
        <v>332</v>
      </c>
      <c r="F5" s="18" t="n">
        <f aca="false">D5/B5</f>
        <v>11.2388359471817</v>
      </c>
    </row>
    <row r="6" customFormat="false" ht="15" hidden="false" customHeight="false" outlineLevel="0" collapsed="false">
      <c r="A6" s="14" t="s">
        <v>95</v>
      </c>
      <c r="B6" s="15" t="n">
        <v>20.04</v>
      </c>
      <c r="C6" s="16" t="n">
        <v>69</v>
      </c>
      <c r="D6" s="16" t="n">
        <v>212</v>
      </c>
      <c r="E6" s="17" t="n">
        <f aca="false">C6+D6</f>
        <v>281</v>
      </c>
      <c r="F6" s="18" t="n">
        <f aca="false">D6/B6</f>
        <v>10.5788423153693</v>
      </c>
    </row>
    <row r="7" customFormat="false" ht="15" hidden="false" customHeight="false" outlineLevel="0" collapsed="false">
      <c r="A7" s="14" t="s">
        <v>96</v>
      </c>
      <c r="B7" s="15" t="n">
        <v>21.767</v>
      </c>
      <c r="C7" s="16" t="n">
        <v>69</v>
      </c>
      <c r="D7" s="16" t="n">
        <v>212</v>
      </c>
      <c r="E7" s="17" t="n">
        <f aca="false">C7+D7</f>
        <v>281</v>
      </c>
      <c r="F7" s="18" t="n">
        <f aca="false">D7/B7</f>
        <v>9.73951394312491</v>
      </c>
    </row>
    <row r="8" customFormat="false" ht="15" hidden="false" customHeight="false" outlineLevel="0" collapsed="false">
      <c r="A8" s="14" t="s">
        <v>97</v>
      </c>
      <c r="B8" s="15" t="n">
        <v>23.576</v>
      </c>
      <c r="C8" s="16" t="n">
        <v>69</v>
      </c>
      <c r="D8" s="16" t="n">
        <v>212</v>
      </c>
      <c r="E8" s="17" t="n">
        <f aca="false">C8+D8</f>
        <v>281</v>
      </c>
      <c r="F8" s="18" t="n">
        <f aca="false">D8/B8</f>
        <v>8.99219545300305</v>
      </c>
    </row>
    <row r="10" customFormat="false" ht="15" hidden="false" customHeight="false" outlineLevel="0" collapsed="false">
      <c r="A10" s="19" t="s">
        <v>98</v>
      </c>
      <c r="B10" s="20" t="n">
        <f aca="false">AVERAGE(B6:B8)</f>
        <v>21.7943333333333</v>
      </c>
      <c r="F10" s="20" t="n">
        <f aca="false">AVERAGE(F6:F8)</f>
        <v>9.77018390383241</v>
      </c>
    </row>
    <row r="11" customFormat="false" ht="15" hidden="false" customHeight="false" outlineLevel="0" collapsed="false">
      <c r="A11" s="19" t="s">
        <v>99</v>
      </c>
      <c r="B11" s="20" t="n">
        <f aca="false">MIN(B6:B8)</f>
        <v>20.04</v>
      </c>
      <c r="F11" s="20" t="n">
        <f aca="false">MIN(F6:F8)</f>
        <v>8.99219545300305</v>
      </c>
    </row>
    <row r="12" customFormat="false" ht="15" hidden="false" customHeight="false" outlineLevel="0" collapsed="false">
      <c r="A12" s="19" t="s">
        <v>100</v>
      </c>
      <c r="B12" s="20" t="n">
        <f aca="false">MAX(B6:B8)</f>
        <v>23.576</v>
      </c>
      <c r="F12" s="20" t="n">
        <f aca="false">MAX(F6:F8)</f>
        <v>10.5788423153693</v>
      </c>
    </row>
    <row r="14" customFormat="false" ht="61.5" hidden="false" customHeight="true" outlineLevel="0" collapsed="false">
      <c r="A14" s="3" t="s">
        <v>101</v>
      </c>
      <c r="B14" s="3"/>
      <c r="C14" s="3"/>
      <c r="D14" s="3"/>
      <c r="E14" s="3"/>
      <c r="F14" s="3"/>
    </row>
  </sheetData>
  <mergeCells count="3">
    <mergeCell ref="A1:F1"/>
    <mergeCell ref="A2:F2"/>
    <mergeCell ref="A14:F14"/>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2026-10-05T15:50:40Z</dcterms:created>
  <dc:creator>openpyxl</dc:creator>
  <dc:description/>
  <dc:language>en-US</dc:language>
  <cp:lastModifiedBy/>
  <dcterms:modified xsi:type="dcterms:W3CDTF">2026-10-06T08:48:53Z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